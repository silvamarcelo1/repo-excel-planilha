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EXCEL + IA\"/>
    </mc:Choice>
  </mc:AlternateContent>
  <xr:revisionPtr revIDLastSave="0" documentId="13_ncr:2001_{63865ED2-41E5-47ED-9041-4A85CBFC1BEE}" xr6:coauthVersionLast="47" xr6:coauthVersionMax="47" xr10:uidLastSave="{00000000-0000-0000-0000-000000000000}"/>
  <bookViews>
    <workbookView xWindow="-108" yWindow="-108" windowWidth="23256" windowHeight="13176" tabRatio="0" xr2:uid="{A7F22302-19A3-4D8E-B1BD-9BB82591C891}"/>
  </bookViews>
  <sheets>
    <sheet name="PAINEL" sheetId="1" r:id="rId1"/>
    <sheet name="Planilha2" sheetId="2" r:id="rId2"/>
  </sheets>
  <definedNames>
    <definedName name="_xlchart.v1.0" hidden="1">PAINEL!$B$40:$B$45</definedName>
    <definedName name="_xlchart.v1.1" hidden="1">PAINEL!$C$39</definedName>
    <definedName name="_xlchart.v1.2" hidden="1">PAINEL!$C$40:$C$45</definedName>
    <definedName name="_xlchart.v1.3" hidden="1">PAINEL!$B$40:$B$45</definedName>
    <definedName name="_xlchart.v1.4" hidden="1">PAINEL!$C$39</definedName>
    <definedName name="_xlchart.v1.5" hidden="1">PAINEL!$C$40:$C$45</definedName>
    <definedName name="aporte">PAINEL!$D$22</definedName>
    <definedName name="dividendos_mensais">PAINEL!$D$26</definedName>
    <definedName name="pat_acumulado">PAINEL!$D$25</definedName>
    <definedName name="perfil">PAINEL!$C$36</definedName>
    <definedName name="qtd_anos">PAINEL!$D$23</definedName>
    <definedName name="rendimento_carteira">PAINEL!$D$18</definedName>
    <definedName name="salario">PAINEL!$D$17</definedName>
    <definedName name="sugestao_investimento">PAINEL!$D$19</definedName>
    <definedName name="taxa_mensal">PAINEL!$D$24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5" i="1"/>
  <c r="C40" i="1"/>
  <c r="G3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7" i="1"/>
  <c r="D25" i="1"/>
  <c r="D26" i="1" s="1"/>
  <c r="D19" i="1"/>
  <c r="C31" i="1"/>
  <c r="D31" i="1" s="1"/>
  <c r="C32" i="1"/>
  <c r="D32" i="1" s="1"/>
  <c r="C33" i="1"/>
  <c r="D33" i="1" s="1"/>
  <c r="C30" i="1"/>
  <c r="D30" i="1" s="1"/>
  <c r="C29" i="1"/>
  <c r="D29" i="1" s="1"/>
  <c r="D42" i="1" l="1"/>
  <c r="D43" i="1"/>
  <c r="D44" i="1"/>
  <c r="D40" i="1"/>
  <c r="D41" i="1"/>
  <c r="D45" i="1"/>
  <c r="D46" i="1" l="1"/>
</calcChain>
</file>

<file path=xl/sharedStrings.xml><?xml version="1.0" encoding="utf-8"?>
<sst xmlns="http://schemas.openxmlformats.org/spreadsheetml/2006/main" count="70" uniqueCount="34">
  <si>
    <t>INVESTIMENTO MENSAL</t>
  </si>
  <si>
    <t>Por quantos anos?</t>
  </si>
  <si>
    <t>Taxa de rendimento mensal</t>
  </si>
  <si>
    <t>Patrimônio acumulado</t>
  </si>
  <si>
    <t>Dividendos mensais</t>
  </si>
  <si>
    <t>Quantos em 2 anos?</t>
  </si>
  <si>
    <t>Quantos em 5 anos?</t>
  </si>
  <si>
    <t>Quantos em 10 anos?</t>
  </si>
  <si>
    <t>Quantos em 20 anos?</t>
  </si>
  <si>
    <t>Cenários</t>
  </si>
  <si>
    <t>Quantos em 30 anos?</t>
  </si>
  <si>
    <t>Dividendo</t>
  </si>
  <si>
    <t>Rendimento carteira</t>
  </si>
  <si>
    <t>Salário</t>
  </si>
  <si>
    <t>CONFIGURAÇÕES</t>
  </si>
  <si>
    <t>Quanto investir por mês ?</t>
  </si>
  <si>
    <t>PERFIL</t>
  </si>
  <si>
    <t>Conservador</t>
  </si>
  <si>
    <t>VALOR A SER IVESTIDO POR MÊS</t>
  </si>
  <si>
    <t>Agressivo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</si>
  <si>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</si>
  <si>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</si>
  <si>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</si>
  <si>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</si>
  <si>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</si>
  <si>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</si>
  <si>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</si>
  <si>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</si>
  <si>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</si>
  <si>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</si>
  <si>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Moderado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</si>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</sst>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b/>
      <sz val="16"/>
      <color theme="1"/>
      <name val="Aptos Narrow"/>
      <family val="2"/>
      <scheme val="minor"/>
    </font>
    <font>
      <b/>
      <sz val="24"/>
      <color theme="0"/>
      <name val="Aptos Display"/>
      <family val="2"/>
      <scheme val="major"/>
    </font>
    <font>
      <sz val="14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6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medium">
        <color indexed="64"/>
      </right>
      <top/>
      <bottom style="hair">
        <color theme="0"/>
      </bottom>
      <diagonal/>
    </border>
    <border>
      <left style="medium">
        <color indexed="64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indexed="64"/>
      </left>
      <right style="hair">
        <color theme="0"/>
      </right>
      <top style="hair">
        <color theme="0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65">
    <xf numFmtId="0" fontId="0" fillId="0" borderId="0" xfId="0"/>
    <xf numFmtId="0" fontId="0" fillId="3" borderId="0" xfId="0" applyFill="1"/>
    <xf numFmtId="0" fontId="2" fillId="3" borderId="0" xfId="0" applyFont="1" applyFill="1"/>
    <xf numFmtId="0" fontId="4" fillId="3" borderId="0" xfId="0" applyFont="1" applyFill="1" applyAlignment="1">
      <alignment horizontal="center" vertical="center"/>
    </xf>
    <xf numFmtId="8" fontId="7" fillId="2" borderId="6" xfId="0" applyNumberFormat="1" applyFont="1" applyFill="1" applyBorder="1" applyAlignment="1">
      <alignment horizontal="center" vertical="center"/>
    </xf>
    <xf numFmtId="8" fontId="3" fillId="2" borderId="5" xfId="0" applyNumberFormat="1" applyFont="1" applyFill="1" applyBorder="1" applyAlignment="1">
      <alignment horizontal="center" vertical="center"/>
    </xf>
    <xf numFmtId="8" fontId="3" fillId="2" borderId="8" xfId="0" applyNumberFormat="1" applyFont="1" applyFill="1" applyBorder="1" applyAlignment="1">
      <alignment horizontal="center" vertical="center"/>
    </xf>
    <xf numFmtId="8" fontId="3" fillId="2" borderId="10" xfId="0" applyNumberFormat="1" applyFont="1" applyFill="1" applyBorder="1" applyAlignment="1">
      <alignment horizontal="center" vertical="center"/>
    </xf>
    <xf numFmtId="8" fontId="7" fillId="2" borderId="11" xfId="0" applyNumberFormat="1" applyFont="1" applyFill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/>
    </xf>
    <xf numFmtId="10" fontId="3" fillId="0" borderId="17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164" fontId="5" fillId="0" borderId="14" xfId="1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5" fillId="0" borderId="17" xfId="0" applyNumberFormat="1" applyFont="1" applyBorder="1" applyAlignment="1">
      <alignment horizontal="center" vertical="center"/>
    </xf>
    <xf numFmtId="8" fontId="5" fillId="2" borderId="17" xfId="0" applyNumberFormat="1" applyFont="1" applyFill="1" applyBorder="1" applyAlignment="1">
      <alignment horizontal="center" vertical="center"/>
    </xf>
    <xf numFmtId="8" fontId="5" fillId="2" borderId="20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indent="6"/>
    </xf>
    <xf numFmtId="0" fontId="3" fillId="2" borderId="7" xfId="0" applyFont="1" applyFill="1" applyBorder="1" applyAlignment="1">
      <alignment horizontal="left" vertical="center" indent="6"/>
    </xf>
    <xf numFmtId="0" fontId="3" fillId="2" borderId="9" xfId="0" applyFont="1" applyFill="1" applyBorder="1" applyAlignment="1">
      <alignment horizontal="left" vertical="center" indent="6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6"/>
    </xf>
    <xf numFmtId="0" fontId="3" fillId="0" borderId="21" xfId="0" applyFont="1" applyBorder="1"/>
    <xf numFmtId="0" fontId="3" fillId="0" borderId="21" xfId="0" applyFont="1" applyBorder="1" applyAlignment="1">
      <alignment horizontal="left" indent="6"/>
    </xf>
    <xf numFmtId="9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9" fontId="3" fillId="0" borderId="0" xfId="2" applyFont="1"/>
    <xf numFmtId="0" fontId="5" fillId="6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 indent="6"/>
    </xf>
    <xf numFmtId="164" fontId="3" fillId="0" borderId="23" xfId="0" applyNumberFormat="1" applyFont="1" applyBorder="1"/>
    <xf numFmtId="0" fontId="0" fillId="6" borderId="24" xfId="0" applyFill="1" applyBorder="1"/>
    <xf numFmtId="0" fontId="0" fillId="6" borderId="21" xfId="0" applyFill="1" applyBorder="1"/>
    <xf numFmtId="164" fontId="5" fillId="6" borderId="25" xfId="0" applyNumberFormat="1" applyFont="1" applyFill="1" applyBorder="1"/>
    <xf numFmtId="0" fontId="9" fillId="4" borderId="1" xfId="3" applyFont="1" applyBorder="1" applyAlignment="1">
      <alignment horizontal="left" vertical="center"/>
    </xf>
    <xf numFmtId="0" fontId="9" fillId="4" borderId="3" xfId="3" applyFont="1" applyBorder="1" applyAlignment="1">
      <alignment horizontal="center"/>
    </xf>
    <xf numFmtId="0" fontId="9" fillId="4" borderId="2" xfId="3" applyFont="1" applyBorder="1"/>
    <xf numFmtId="0" fontId="5" fillId="5" borderId="24" xfId="0" applyFont="1" applyFill="1" applyBorder="1"/>
    <xf numFmtId="164" fontId="5" fillId="5" borderId="21" xfId="0" applyNumberFormat="1" applyFont="1" applyFill="1" applyBorder="1" applyAlignment="1">
      <alignment horizontal="center"/>
    </xf>
    <xf numFmtId="0" fontId="5" fillId="5" borderId="25" xfId="0" applyFont="1" applyFill="1" applyBorder="1"/>
    <xf numFmtId="0" fontId="6" fillId="7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 indent="6"/>
    </xf>
    <xf numFmtId="0" fontId="3" fillId="0" borderId="16" xfId="0" applyFont="1" applyBorder="1" applyAlignment="1">
      <alignment horizontal="left" vertical="center" indent="6"/>
    </xf>
    <xf numFmtId="0" fontId="5" fillId="2" borderId="15" xfId="0" applyFont="1" applyFill="1" applyBorder="1" applyAlignment="1">
      <alignment horizontal="left" vertical="center" indent="6"/>
    </xf>
    <xf numFmtId="0" fontId="5" fillId="2" borderId="16" xfId="0" applyFont="1" applyFill="1" applyBorder="1" applyAlignment="1">
      <alignment horizontal="left" vertical="center" indent="6"/>
    </xf>
    <xf numFmtId="0" fontId="5" fillId="2" borderId="18" xfId="0" applyFont="1" applyFill="1" applyBorder="1" applyAlignment="1">
      <alignment horizontal="left" vertical="center" indent="6"/>
    </xf>
    <xf numFmtId="0" fontId="5" fillId="2" borderId="19" xfId="0" applyFont="1" applyFill="1" applyBorder="1" applyAlignment="1">
      <alignment horizontal="left" vertical="center" indent="6"/>
    </xf>
    <xf numFmtId="0" fontId="3" fillId="2" borderId="12" xfId="0" applyFont="1" applyFill="1" applyBorder="1" applyAlignment="1">
      <alignment horizontal="left" vertical="center" indent="7"/>
    </xf>
    <xf numFmtId="0" fontId="3" fillId="2" borderId="13" xfId="0" applyFont="1" applyFill="1" applyBorder="1" applyAlignment="1">
      <alignment horizontal="left" vertical="center" indent="7"/>
    </xf>
    <xf numFmtId="0" fontId="3" fillId="2" borderId="15" xfId="0" applyFont="1" applyFill="1" applyBorder="1" applyAlignment="1">
      <alignment horizontal="left" vertical="center" indent="7"/>
    </xf>
    <xf numFmtId="0" fontId="3" fillId="2" borderId="16" xfId="0" applyFont="1" applyFill="1" applyBorder="1" applyAlignment="1">
      <alignment horizontal="left" vertical="center" indent="7"/>
    </xf>
    <xf numFmtId="0" fontId="3" fillId="2" borderId="18" xfId="0" applyFont="1" applyFill="1" applyBorder="1" applyAlignment="1">
      <alignment horizontal="left" vertical="center" indent="7"/>
    </xf>
    <xf numFmtId="0" fontId="3" fillId="2" borderId="19" xfId="0" applyFont="1" applyFill="1" applyBorder="1" applyAlignment="1">
      <alignment horizontal="left" vertical="center" indent="7"/>
    </xf>
    <xf numFmtId="0" fontId="3" fillId="0" borderId="12" xfId="0" applyFont="1" applyBorder="1" applyAlignment="1">
      <alignment horizontal="left" vertical="center" indent="6"/>
    </xf>
    <xf numFmtId="0" fontId="3" fillId="0" borderId="13" xfId="0" applyFont="1" applyBorder="1" applyAlignment="1">
      <alignment horizontal="left" vertical="center" indent="6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PAINEL!$C$39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PAINEL!$B$40:$B$45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PAINEL!$C$40:$C$45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7-4AE7-BC9E-D9449EC36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604838</xdr:colOff>
      <xdr:row>0</xdr:row>
      <xdr:rowOff>175260</xdr:rowOff>
    </xdr:from>
    <xdr:to>
      <xdr:col>3</xdr:col>
      <xdr:colOff>1440180</xdr:colOff>
      <xdr:row>12</xdr:row>
      <xdr:rowOff>137160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C18237-48CC-6DCB-C0DD-4652C3EEA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4838" y="175260"/>
          <a:ext cx="6176962" cy="215646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47</xdr:row>
      <xdr:rowOff>99060</xdr:rowOff>
    </xdr:from>
    <xdr:to>
      <xdr:col>3</xdr:col>
      <xdr:colOff>1424940</xdr:colOff>
      <xdr:row>67</xdr:row>
      <xdr:rowOff>91440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CF31E6-3090-CF36-9AC5-51EFFBE67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49D7-34E7-4E5E-BB19-5638ECE6B77A}">
  <dimension ref="A15:E46"/>
  <sheetViews>
    <sheetView showGridLines="0" showRowColHeaders="0" tabSelected="1" zoomScaleNormal="100" workbookViewId="0">
      <selection activeCell="F42" sqref="F4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8.88671875" customWidth="1"/>
    <col min="2" max="2" width="42.21875" bestFit="1" customWidth="1"/>
    <col min="3" max="3" width="26.77734375" bestFit="1" customWidth="1"/>
    <col min="4" max="4" width="21.109375" bestFit="1" customWidth="1"/>
    <col min="5" max="5" width="32.5546875" style="1" bestFit="1" customWidth="1"/>
    <col min="6" max="6" width="16" bestFit="1" customWidth="1"/>
    <col min="10" max="10" width="10.44140625" customWidth="1"/>
  </cols>
  <sheetData>
    <row r="15" spans="2:4" ht="15" thickBot="1" x14ac:dyDescent="0.35"/>
    <row r="16" spans="2:4" ht="45" customHeight="1" x14ac:dyDescent="0.3">
      <c r="B16" s="45" t="s">
        <v>14</v>
      </c>
      <c r="C16" s="46"/>
      <c r="D16" s="47"/>
    </row>
    <row r="17" spans="1:5" ht="28.05" customHeight="1" x14ac:dyDescent="0.4">
      <c r="B17" s="57" t="s">
        <v>13</v>
      </c>
      <c r="C17" s="58"/>
      <c r="D17" s="9">
        <v>5000</v>
      </c>
    </row>
    <row r="18" spans="1:5" ht="28.05" customHeight="1" x14ac:dyDescent="0.4">
      <c r="B18" s="59" t="s">
        <v>12</v>
      </c>
      <c r="C18" s="60"/>
      <c r="D18" s="10">
        <v>6.0000000000000001E-3</v>
      </c>
    </row>
    <row r="19" spans="1:5" ht="28.05" customHeight="1" thickBot="1" x14ac:dyDescent="0.45">
      <c r="B19" s="61" t="s">
        <v>33</v>
      </c>
      <c r="C19" s="62"/>
      <c r="D19" s="11">
        <f>D17*30%</f>
        <v>1500</v>
      </c>
    </row>
    <row r="20" spans="1:5" ht="15" thickBot="1" x14ac:dyDescent="0.35"/>
    <row r="21" spans="1:5" ht="45" customHeight="1" x14ac:dyDescent="0.3">
      <c r="B21" s="48" t="s">
        <v>0</v>
      </c>
      <c r="C21" s="49"/>
      <c r="D21" s="50"/>
    </row>
    <row r="22" spans="1:5" ht="28.05" customHeight="1" x14ac:dyDescent="0.3">
      <c r="B22" s="63" t="s">
        <v>15</v>
      </c>
      <c r="C22" s="64"/>
      <c r="D22" s="12">
        <v>1500</v>
      </c>
    </row>
    <row r="23" spans="1:5" ht="28.05" customHeight="1" x14ac:dyDescent="0.3">
      <c r="B23" s="51" t="s">
        <v>1</v>
      </c>
      <c r="C23" s="52"/>
      <c r="D23" s="13">
        <v>5</v>
      </c>
    </row>
    <row r="24" spans="1:5" ht="28.05" customHeight="1" x14ac:dyDescent="0.3">
      <c r="B24" s="51" t="s">
        <v>2</v>
      </c>
      <c r="C24" s="52"/>
      <c r="D24" s="14">
        <v>1.0789999999999999E-2</v>
      </c>
    </row>
    <row r="25" spans="1:5" ht="28.05" customHeight="1" x14ac:dyDescent="0.3">
      <c r="B25" s="53" t="s">
        <v>3</v>
      </c>
      <c r="C25" s="54"/>
      <c r="D25" s="15">
        <f>FV(taxa_mensal,qtd_anos*12,aporte*-1)</f>
        <v>125665.37099773147</v>
      </c>
    </row>
    <row r="26" spans="1:5" ht="28.05" customHeight="1" thickBot="1" x14ac:dyDescent="0.35">
      <c r="B26" s="55" t="s">
        <v>4</v>
      </c>
      <c r="C26" s="56"/>
      <c r="D26" s="16">
        <f>pat_acumulado*rendimento_carteira</f>
        <v>753.9922259863888</v>
      </c>
    </row>
    <row r="27" spans="1:5" ht="15" thickBot="1" x14ac:dyDescent="0.35"/>
    <row r="28" spans="1:5" ht="45" customHeight="1" x14ac:dyDescent="0.3">
      <c r="B28" s="48" t="s">
        <v>9</v>
      </c>
      <c r="C28" s="49"/>
      <c r="D28" s="44" t="s">
        <v>11</v>
      </c>
      <c r="E28" s="3"/>
    </row>
    <row r="29" spans="1:5" ht="28.05" customHeight="1" x14ac:dyDescent="0.3">
      <c r="A29" s="2">
        <v>2</v>
      </c>
      <c r="B29" s="17" t="s">
        <v>5</v>
      </c>
      <c r="C29" s="5">
        <f>FV($D$24,$A29*12,$D$22*-1)</f>
        <v>40841.440946467825</v>
      </c>
      <c r="D29" s="4">
        <f>C29*rendimento_carteira</f>
        <v>245.04864567880696</v>
      </c>
    </row>
    <row r="30" spans="1:5" ht="28.05" customHeight="1" x14ac:dyDescent="0.3">
      <c r="A30" s="2">
        <v>5</v>
      </c>
      <c r="B30" s="18" t="s">
        <v>6</v>
      </c>
      <c r="C30" s="6">
        <f>FV($D$24,$A30*12,$D$22*-1)</f>
        <v>125665.37099773147</v>
      </c>
      <c r="D30" s="4">
        <f>C30*rendimento_carteira</f>
        <v>753.9922259863888</v>
      </c>
    </row>
    <row r="31" spans="1:5" ht="28.05" customHeight="1" x14ac:dyDescent="0.3">
      <c r="A31" s="2">
        <v>10</v>
      </c>
      <c r="B31" s="18" t="s">
        <v>7</v>
      </c>
      <c r="C31" s="6">
        <f>FV($D$24,$A31*12,$D$22*-1)</f>
        <v>364926.3187952583</v>
      </c>
      <c r="D31" s="4">
        <f>C31*rendimento_carteira</f>
        <v>2189.55791277155</v>
      </c>
    </row>
    <row r="32" spans="1:5" ht="28.05" customHeight="1" x14ac:dyDescent="0.3">
      <c r="A32" s="2">
        <v>20</v>
      </c>
      <c r="B32" s="18" t="s">
        <v>8</v>
      </c>
      <c r="C32" s="6">
        <f>FV($D$24,$A32*12,$D$22*-1)</f>
        <v>1687797.600145621</v>
      </c>
      <c r="D32" s="4">
        <f>C32*rendimento_carteira</f>
        <v>10126.785600873725</v>
      </c>
    </row>
    <row r="33" spans="1:4" ht="28.05" customHeight="1" thickBot="1" x14ac:dyDescent="0.35">
      <c r="A33" s="2">
        <v>30</v>
      </c>
      <c r="B33" s="19" t="s">
        <v>10</v>
      </c>
      <c r="C33" s="7">
        <f>FV($D$24,$A33*12,$D$22*-1)</f>
        <v>6483254.4825070715</v>
      </c>
      <c r="D33" s="8">
        <f>C33*rendimento_carteira</f>
        <v>38899.526895042429</v>
      </c>
    </row>
    <row r="35" spans="1:4" ht="15" thickBot="1" x14ac:dyDescent="0.35"/>
    <row r="36" spans="1:4" ht="21" x14ac:dyDescent="0.4">
      <c r="B36" s="38" t="s">
        <v>16</v>
      </c>
      <c r="C36" s="39" t="s">
        <v>30</v>
      </c>
      <c r="D36" s="40"/>
    </row>
    <row r="37" spans="1:4" ht="21.6" thickBot="1" x14ac:dyDescent="0.45">
      <c r="B37" s="41" t="s">
        <v>18</v>
      </c>
      <c r="C37" s="42">
        <f>aporte</f>
        <v>1500</v>
      </c>
      <c r="D37" s="43"/>
    </row>
    <row r="38" spans="1:4" ht="15" thickBot="1" x14ac:dyDescent="0.35"/>
    <row r="39" spans="1:4" ht="21" x14ac:dyDescent="0.4">
      <c r="B39" s="30" t="s">
        <v>20</v>
      </c>
      <c r="C39" s="31" t="s">
        <v>21</v>
      </c>
      <c r="D39" s="32" t="s">
        <v>22</v>
      </c>
    </row>
    <row r="40" spans="1:4" ht="21" x14ac:dyDescent="0.4">
      <c r="B40" s="33" t="s">
        <v>23</v>
      </c>
      <c r="C40" s="23">
        <f>VLOOKUP($C$36&amp;"-"&amp;B40,Planilha2!$A:$D,4,FALSE)</f>
        <v>0.32</v>
      </c>
      <c r="D40" s="34">
        <f t="shared" ref="D40:D45" si="0">C40*$C$37</f>
        <v>480</v>
      </c>
    </row>
    <row r="41" spans="1:4" ht="21" x14ac:dyDescent="0.4">
      <c r="B41" s="33" t="s">
        <v>24</v>
      </c>
      <c r="C41" s="23">
        <f>VLOOKUP($C$36&amp;"-"&amp;B41,Planilha2!$A:$D,4,FALSE)</f>
        <v>0.35</v>
      </c>
      <c r="D41" s="34">
        <f t="shared" si="0"/>
        <v>525</v>
      </c>
    </row>
    <row r="42" spans="1:4" ht="21" x14ac:dyDescent="0.4">
      <c r="B42" s="33" t="s">
        <v>25</v>
      </c>
      <c r="C42" s="23">
        <f>VLOOKUP($C$36&amp;"-"&amp;B42,Planilha2!$A:$D,4,FALSE)</f>
        <v>0.08</v>
      </c>
      <c r="D42" s="34">
        <f t="shared" si="0"/>
        <v>120</v>
      </c>
    </row>
    <row r="43" spans="1:4" ht="21" x14ac:dyDescent="0.4">
      <c r="B43" s="33" t="s">
        <v>26</v>
      </c>
      <c r="C43" s="23">
        <f>VLOOKUP($C$36&amp;"-"&amp;B43,Planilha2!$A:$D,4,FALSE)</f>
        <v>0.05</v>
      </c>
      <c r="D43" s="34">
        <f t="shared" si="0"/>
        <v>75</v>
      </c>
    </row>
    <row r="44" spans="1:4" ht="21" x14ac:dyDescent="0.4">
      <c r="B44" s="33" t="s">
        <v>27</v>
      </c>
      <c r="C44" s="23">
        <f>VLOOKUP($C$36&amp;"-"&amp;B44,Planilha2!$A:$D,4,FALSE)</f>
        <v>0.1</v>
      </c>
      <c r="D44" s="34">
        <f t="shared" si="0"/>
        <v>150</v>
      </c>
    </row>
    <row r="45" spans="1:4" ht="21" x14ac:dyDescent="0.4">
      <c r="B45" s="33" t="s">
        <v>28</v>
      </c>
      <c r="C45" s="23">
        <f>VLOOKUP($C$36&amp;"-"&amp;B45,Planilha2!$A:$D,4,FALSE)</f>
        <v>0.1</v>
      </c>
      <c r="D45" s="34">
        <f t="shared" si="0"/>
        <v>150</v>
      </c>
    </row>
    <row r="46" spans="1:4" ht="21.6" thickBot="1" x14ac:dyDescent="0.45">
      <c r="B46" s="35"/>
      <c r="C46" s="36"/>
      <c r="D46" s="37">
        <f>SUM(D40:D45)</f>
        <v>1500</v>
      </c>
    </row>
  </sheetData>
  <mergeCells count="11">
    <mergeCell ref="B16:D16"/>
    <mergeCell ref="B21:D21"/>
    <mergeCell ref="B24:C24"/>
    <mergeCell ref="B28:C28"/>
    <mergeCell ref="B25:C25"/>
    <mergeCell ref="B26:C26"/>
    <mergeCell ref="B17:C17"/>
    <mergeCell ref="B18:C18"/>
    <mergeCell ref="B19:C19"/>
    <mergeCell ref="B22:C22"/>
    <mergeCell ref="B23:C23"/>
  </mergeCells>
  <dataValidations count="1">
    <dataValidation type="list" allowBlank="1" showInputMessage="1" showErrorMessage="1" sqref="C36" xr:uid="{11CFE5C5-129B-4075-BA82-F3B33309137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77C1-ECF8-46B1-8FD3-CFCBB68BC71A}">
  <dimension ref="A2:G20"/>
  <sheetViews>
    <sheetView workbookViewId="0">
      <selection activeCell="D13" sqref="D13"/>
    </sheetView>
  </sheetViews>
  <sheetFormatPr defaultRowHeight="14.4" x14ac:dyDescent="0.3"/>
  <cols>
    <col min="1" max="1" width="43" bestFit="1" customWidth="1"/>
    <col min="2" max="2" width="16.6640625" bestFit="1" customWidth="1"/>
    <col min="3" max="3" width="32.44140625" bestFit="1" customWidth="1"/>
    <col min="6" max="6" width="23" bestFit="1" customWidth="1"/>
  </cols>
  <sheetData>
    <row r="2" spans="1:7" ht="21" x14ac:dyDescent="0.4">
      <c r="A2" s="21" t="s">
        <v>31</v>
      </c>
      <c r="B2" s="21" t="s">
        <v>16</v>
      </c>
      <c r="C2" s="21" t="s">
        <v>20</v>
      </c>
      <c r="D2" s="22" t="s">
        <v>29</v>
      </c>
    </row>
    <row r="3" spans="1:7" ht="21" x14ac:dyDescent="0.4">
      <c r="A3" s="20" t="str">
        <f>B3&amp;"-"&amp;C3</f>
        <v>Conservador-PAPEL</v>
      </c>
      <c r="B3" s="21" t="s">
        <v>17</v>
      </c>
      <c r="C3" s="24" t="s">
        <v>23</v>
      </c>
      <c r="D3" s="23">
        <v>0.3</v>
      </c>
      <c r="F3" s="20" t="s">
        <v>32</v>
      </c>
      <c r="G3" s="29">
        <f>VLOOKUP(F3,$A:$D,4,FALSE)</f>
        <v>0.35</v>
      </c>
    </row>
    <row r="4" spans="1:7" ht="21" x14ac:dyDescent="0.4">
      <c r="A4" s="20" t="str">
        <f t="shared" ref="A4:A20" si="0">B4&amp;"-"&amp;C4</f>
        <v>Conservador-TIJOLO</v>
      </c>
      <c r="B4" s="21" t="s">
        <v>17</v>
      </c>
      <c r="C4" s="24" t="s">
        <v>24</v>
      </c>
      <c r="D4" s="23">
        <v>0.5</v>
      </c>
    </row>
    <row r="5" spans="1:7" ht="21" x14ac:dyDescent="0.4">
      <c r="A5" s="20" t="str">
        <f t="shared" si="0"/>
        <v>Conservador-HÍBRIDO</v>
      </c>
      <c r="B5" s="21" t="s">
        <v>17</v>
      </c>
      <c r="C5" s="24" t="s">
        <v>25</v>
      </c>
      <c r="D5" s="23">
        <v>0.1</v>
      </c>
    </row>
    <row r="6" spans="1:7" ht="21" x14ac:dyDescent="0.4">
      <c r="A6" s="20" t="str">
        <f t="shared" si="0"/>
        <v>Conservador-FOFs</v>
      </c>
      <c r="B6" s="21" t="s">
        <v>17</v>
      </c>
      <c r="C6" s="24" t="s">
        <v>26</v>
      </c>
      <c r="D6" s="23">
        <v>0.1</v>
      </c>
    </row>
    <row r="7" spans="1:7" ht="21" x14ac:dyDescent="0.4">
      <c r="A7" s="20" t="str">
        <f t="shared" si="0"/>
        <v>Conservador-DESENVOLVIMENTO</v>
      </c>
      <c r="B7" s="21" t="s">
        <v>17</v>
      </c>
      <c r="C7" s="24" t="s">
        <v>27</v>
      </c>
      <c r="D7" s="23">
        <v>0</v>
      </c>
    </row>
    <row r="8" spans="1:7" ht="21.6" thickBot="1" x14ac:dyDescent="0.45">
      <c r="A8" s="25" t="str">
        <f t="shared" si="0"/>
        <v>Conservador-HOTELARIAS</v>
      </c>
      <c r="B8" s="28" t="s">
        <v>17</v>
      </c>
      <c r="C8" s="26" t="s">
        <v>28</v>
      </c>
      <c r="D8" s="27">
        <v>0</v>
      </c>
    </row>
    <row r="9" spans="1:7" ht="21" x14ac:dyDescent="0.4">
      <c r="A9" s="20" t="str">
        <f t="shared" si="0"/>
        <v>Moderado-PAPEL</v>
      </c>
      <c r="B9" s="21" t="s">
        <v>30</v>
      </c>
      <c r="C9" s="24" t="s">
        <v>23</v>
      </c>
      <c r="D9" s="23">
        <v>0.32</v>
      </c>
    </row>
    <row r="10" spans="1:7" ht="21" x14ac:dyDescent="0.4">
      <c r="A10" s="20" t="str">
        <f t="shared" si="0"/>
        <v>Moderado-TIJOLO</v>
      </c>
      <c r="B10" s="21" t="s">
        <v>30</v>
      </c>
      <c r="C10" s="24" t="s">
        <v>24</v>
      </c>
      <c r="D10" s="23">
        <v>0.35</v>
      </c>
    </row>
    <row r="11" spans="1:7" ht="21" x14ac:dyDescent="0.4">
      <c r="A11" s="20" t="str">
        <f t="shared" si="0"/>
        <v>Moderado-HÍBRIDO</v>
      </c>
      <c r="B11" s="21" t="s">
        <v>30</v>
      </c>
      <c r="C11" s="24" t="s">
        <v>25</v>
      </c>
      <c r="D11" s="23">
        <v>0.08</v>
      </c>
    </row>
    <row r="12" spans="1:7" ht="21" x14ac:dyDescent="0.4">
      <c r="A12" s="20" t="str">
        <f t="shared" si="0"/>
        <v>Moderado-FOFs</v>
      </c>
      <c r="B12" s="21" t="s">
        <v>30</v>
      </c>
      <c r="C12" s="24" t="s">
        <v>26</v>
      </c>
      <c r="D12" s="23">
        <v>0.05</v>
      </c>
    </row>
    <row r="13" spans="1:7" ht="21" x14ac:dyDescent="0.4">
      <c r="A13" s="20" t="str">
        <f t="shared" si="0"/>
        <v>Moderado-DESENVOLVIMENTO</v>
      </c>
      <c r="B13" s="21" t="s">
        <v>30</v>
      </c>
      <c r="C13" s="24" t="s">
        <v>27</v>
      </c>
      <c r="D13" s="23">
        <v>0.1</v>
      </c>
    </row>
    <row r="14" spans="1:7" ht="21.6" thickBot="1" x14ac:dyDescent="0.45">
      <c r="A14" s="25" t="str">
        <f t="shared" si="0"/>
        <v>Moderado-HOTELARIAS</v>
      </c>
      <c r="B14" s="28" t="s">
        <v>30</v>
      </c>
      <c r="C14" s="26" t="s">
        <v>28</v>
      </c>
      <c r="D14" s="27">
        <v>0.1</v>
      </c>
    </row>
    <row r="15" spans="1:7" ht="21" x14ac:dyDescent="0.4">
      <c r="A15" s="20" t="str">
        <f t="shared" si="0"/>
        <v>Agressivo-PAPEL</v>
      </c>
      <c r="B15" s="21" t="s">
        <v>19</v>
      </c>
      <c r="C15" s="24" t="s">
        <v>23</v>
      </c>
      <c r="D15" s="23">
        <v>0.5</v>
      </c>
    </row>
    <row r="16" spans="1:7" ht="21" x14ac:dyDescent="0.4">
      <c r="A16" s="20" t="str">
        <f t="shared" si="0"/>
        <v>Agressivo-TIJOLO</v>
      </c>
      <c r="B16" s="21" t="s">
        <v>19</v>
      </c>
      <c r="C16" s="24" t="s">
        <v>24</v>
      </c>
      <c r="D16" s="23">
        <v>0.1</v>
      </c>
    </row>
    <row r="17" spans="1:4" ht="21" x14ac:dyDescent="0.4">
      <c r="A17" s="20" t="str">
        <f t="shared" si="0"/>
        <v>Agressivo-HÍBRIDO</v>
      </c>
      <c r="B17" s="21" t="s">
        <v>19</v>
      </c>
      <c r="C17" s="24" t="s">
        <v>25</v>
      </c>
      <c r="D17" s="23">
        <v>0.05</v>
      </c>
    </row>
    <row r="18" spans="1:4" ht="21" x14ac:dyDescent="0.4">
      <c r="A18" s="20" t="str">
        <f t="shared" si="0"/>
        <v>Agressivo-FOFs</v>
      </c>
      <c r="B18" s="21" t="s">
        <v>19</v>
      </c>
      <c r="C18" s="24" t="s">
        <v>26</v>
      </c>
      <c r="D18" s="23">
        <v>0.05</v>
      </c>
    </row>
    <row r="19" spans="1:4" ht="21" x14ac:dyDescent="0.4">
      <c r="A19" s="20" t="str">
        <f t="shared" si="0"/>
        <v>Agressivo-DESENVOLVIMENTO</v>
      </c>
      <c r="B19" s="21" t="s">
        <v>19</v>
      </c>
      <c r="C19" s="24" t="s">
        <v>27</v>
      </c>
      <c r="D19" s="23">
        <v>0.2</v>
      </c>
    </row>
    <row r="20" spans="1:4" ht="21.6" thickBot="1" x14ac:dyDescent="0.45">
      <c r="A20" s="25" t="str">
        <f t="shared" si="0"/>
        <v>Agressivo-HOTELARIAS</v>
      </c>
      <c r="B20" s="28" t="s">
        <v>19</v>
      </c>
      <c r="C20" s="26" t="s">
        <v>28</v>
      </c>
      <c r="D20" s="2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PAINEL</vt:lpstr>
      <vt:lpstr>Planilha2</vt:lpstr>
      <vt:lpstr>aporte</vt:lpstr>
      <vt:lpstr>dividendos_mensais</vt:lpstr>
      <vt:lpstr>pat_acumulado</vt:lpstr>
      <vt:lpstr>perfil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Gomes</dc:creator>
  <cp:lastModifiedBy>Marcelo Gomes</cp:lastModifiedBy>
  <dcterms:created xsi:type="dcterms:W3CDTF">2026-01-15T20:50:29Z</dcterms:created>
  <dcterms:modified xsi:type="dcterms:W3CDTF">2026-01-17T03:01:54Z</dcterms:modified>
</cp:coreProperties>
</file>